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es\Downloads\"/>
    </mc:Choice>
  </mc:AlternateContent>
  <xr:revisionPtr revIDLastSave="0" documentId="13_ncr:1_{10DE69FD-C89E-473C-841F-5F24D1DD3C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imer0_1ms" sheetId="1" r:id="rId1"/>
    <sheet name="Timer1_PWM" sheetId="2" r:id="rId2"/>
    <sheet name="Timer2_SoftPWM" sheetId="3" r:id="rId3"/>
    <sheet name="ADC" sheetId="4" r:id="rId4"/>
    <sheet name="UAR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 s="1"/>
  <c r="B7" i="5" s="1"/>
  <c r="B12" i="4"/>
  <c r="B8" i="4"/>
  <c r="B9" i="4" s="1"/>
  <c r="B7" i="4"/>
  <c r="B7" i="3"/>
  <c r="B8" i="3" s="1"/>
  <c r="B16" i="2"/>
  <c r="B15" i="2"/>
  <c r="B14" i="2"/>
  <c r="B9" i="2"/>
  <c r="B10" i="2" s="1"/>
  <c r="B11" i="2" s="1"/>
  <c r="B12" i="2" s="1"/>
  <c r="B8" i="1"/>
  <c r="B6" i="1"/>
  <c r="B7" i="1" s="1"/>
  <c r="B9" i="1" s="1"/>
  <c r="B10" i="1" s="1"/>
  <c r="B11" i="3" l="1"/>
  <c r="B9" i="3"/>
  <c r="B10" i="3" s="1"/>
</calcChain>
</file>

<file path=xl/sharedStrings.xml><?xml version="1.0" encoding="utf-8"?>
<sst xmlns="http://schemas.openxmlformats.org/spreadsheetml/2006/main" count="54" uniqueCount="38">
  <si>
    <t>Parametro</t>
  </si>
  <si>
    <t>Valor</t>
  </si>
  <si>
    <t>F_CPU (Hz)</t>
  </si>
  <si>
    <t>Prescaler</t>
  </si>
  <si>
    <t>OCR0A</t>
  </si>
  <si>
    <t>Frecuencia Timer (Hz)</t>
  </si>
  <si>
    <t>Tick (us)</t>
  </si>
  <si>
    <t>Ticks Totales</t>
  </si>
  <si>
    <t>Periodo ISR (us)</t>
  </si>
  <si>
    <t>Frecuencia ISR (Hz)</t>
  </si>
  <si>
    <t>ICR1</t>
  </si>
  <si>
    <t>Servo Min us</t>
  </si>
  <si>
    <t>Servo Centro us</t>
  </si>
  <si>
    <t>Servo Max us</t>
  </si>
  <si>
    <t>Frecuencia Timer</t>
  </si>
  <si>
    <t>Tick us</t>
  </si>
  <si>
    <t>Periodo PWM ms</t>
  </si>
  <si>
    <t>Frecuencia PWM Hz</t>
  </si>
  <si>
    <t>1000us -&gt; ticks</t>
  </si>
  <si>
    <t>1500us -&gt; ticks</t>
  </si>
  <si>
    <t>2000us -&gt; ticks</t>
  </si>
  <si>
    <t>Max Count</t>
  </si>
  <si>
    <t>Soft PWM Ticks</t>
  </si>
  <si>
    <t>Overflow us</t>
  </si>
  <si>
    <t>Overflow Hz</t>
  </si>
  <si>
    <t>Periodo Soft PWM ms</t>
  </si>
  <si>
    <t>Prescaler ADC</t>
  </si>
  <si>
    <t>Ciclos ADC</t>
  </si>
  <si>
    <t>Canales ADC</t>
  </si>
  <si>
    <t>Clock ADC Hz</t>
  </si>
  <si>
    <t>Tiempo conversion us</t>
  </si>
  <si>
    <t>Tiempo 4 canales us</t>
  </si>
  <si>
    <t>ADC RAW</t>
  </si>
  <si>
    <t>Servo us</t>
  </si>
  <si>
    <t>Baudrate</t>
  </si>
  <si>
    <t>UBRR</t>
  </si>
  <si>
    <t>Baud Real</t>
  </si>
  <si>
    <t>Error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</si>
</sst>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7265625" defaultRowHeight="14.5" x14ac:dyDescent="0.35"/>
  <cols>
    <col min="1" max="1" width="25" customWidth="1"/>
    <col min="2" max="2" width="1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16000000</v>
      </c>
    </row>
    <row r="3" spans="1:2" x14ac:dyDescent="0.35">
      <c r="A3" t="s">
        <v>3</v>
      </c>
      <c r="B3">
        <v>64</v>
      </c>
    </row>
    <row r="4" spans="1:2" x14ac:dyDescent="0.35">
      <c r="A4" t="s">
        <v>4</v>
      </c>
      <c r="B4">
        <v>249</v>
      </c>
    </row>
    <row r="6" spans="1:2" x14ac:dyDescent="0.35">
      <c r="A6" t="s">
        <v>5</v>
      </c>
      <c r="B6">
        <f>B2/B3</f>
        <v>250000</v>
      </c>
    </row>
    <row r="7" spans="1:2" x14ac:dyDescent="0.35">
      <c r="A7" t="s">
        <v>6</v>
      </c>
      <c r="B7">
        <f>1000000/B6</f>
        <v>4</v>
      </c>
    </row>
    <row r="8" spans="1:2" x14ac:dyDescent="0.35">
      <c r="A8" t="s">
        <v>7</v>
      </c>
      <c r="B8">
        <f>B4+1</f>
        <v>250</v>
      </c>
    </row>
    <row r="9" spans="1:2" x14ac:dyDescent="0.35">
      <c r="A9" t="s">
        <v>8</v>
      </c>
      <c r="B9">
        <f>B7*B8</f>
        <v>1000</v>
      </c>
    </row>
    <row r="10" spans="1:2" x14ac:dyDescent="0.35">
      <c r="A10" t="s">
        <v>9</v>
      </c>
      <c r="B10">
        <f>1000000/B9</f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4" sqref="B4"/>
    </sheetView>
  </sheetViews>
  <sheetFormatPr baseColWidth="10" defaultColWidth="8.7265625" defaultRowHeight="14.5" x14ac:dyDescent="0.35"/>
  <cols>
    <col min="1" max="1" width="21" customWidth="1"/>
    <col min="2" max="2" width="2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16000000</v>
      </c>
    </row>
    <row r="3" spans="1:2" x14ac:dyDescent="0.35">
      <c r="A3" t="s">
        <v>3</v>
      </c>
      <c r="B3">
        <v>8</v>
      </c>
    </row>
    <row r="4" spans="1:2" x14ac:dyDescent="0.35">
      <c r="A4" t="s">
        <v>10</v>
      </c>
      <c r="B4">
        <v>39999</v>
      </c>
    </row>
    <row r="5" spans="1:2" x14ac:dyDescent="0.35">
      <c r="A5" t="s">
        <v>11</v>
      </c>
      <c r="B5">
        <v>1000</v>
      </c>
    </row>
    <row r="6" spans="1:2" x14ac:dyDescent="0.35">
      <c r="A6" t="s">
        <v>12</v>
      </c>
      <c r="B6">
        <v>1500</v>
      </c>
    </row>
    <row r="7" spans="1:2" x14ac:dyDescent="0.35">
      <c r="A7" t="s">
        <v>13</v>
      </c>
      <c r="B7">
        <v>2000</v>
      </c>
    </row>
    <row r="9" spans="1:2" x14ac:dyDescent="0.35">
      <c r="A9" t="s">
        <v>14</v>
      </c>
      <c r="B9">
        <f>B2/B3</f>
        <v>2000000</v>
      </c>
    </row>
    <row r="10" spans="1:2" x14ac:dyDescent="0.35">
      <c r="A10" t="s">
        <v>15</v>
      </c>
      <c r="B10">
        <f>1000000/B9</f>
        <v>0.5</v>
      </c>
    </row>
    <row r="11" spans="1:2" x14ac:dyDescent="0.35">
      <c r="A11" t="s">
        <v>16</v>
      </c>
      <c r="B11">
        <f>((B4+1)*B10)/1000</f>
        <v>20</v>
      </c>
    </row>
    <row r="12" spans="1:2" x14ac:dyDescent="0.35">
      <c r="A12" t="s">
        <v>17</v>
      </c>
      <c r="B12">
        <f>1000/B11</f>
        <v>50</v>
      </c>
    </row>
    <row r="14" spans="1:2" x14ac:dyDescent="0.35">
      <c r="A14" t="s">
        <v>18</v>
      </c>
      <c r="B14">
        <f>B5*2</f>
        <v>2000</v>
      </c>
    </row>
    <row r="15" spans="1:2" x14ac:dyDescent="0.35">
      <c r="A15" t="s">
        <v>19</v>
      </c>
      <c r="B15">
        <f>B6*2</f>
        <v>3000</v>
      </c>
    </row>
    <row r="16" spans="1:2" x14ac:dyDescent="0.35">
      <c r="A16" t="s">
        <v>20</v>
      </c>
      <c r="B16">
        <f>B7*2</f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5" sqref="B5"/>
    </sheetView>
  </sheetViews>
  <sheetFormatPr baseColWidth="10" defaultColWidth="8.7265625" defaultRowHeight="14.5" x14ac:dyDescent="0.35"/>
  <cols>
    <col min="1" max="1" width="23" customWidth="1"/>
    <col min="2" max="2" width="1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16000000</v>
      </c>
    </row>
    <row r="3" spans="1:2" x14ac:dyDescent="0.35">
      <c r="A3" t="s">
        <v>3</v>
      </c>
      <c r="B3">
        <v>8</v>
      </c>
    </row>
    <row r="4" spans="1:2" x14ac:dyDescent="0.35">
      <c r="A4" t="s">
        <v>21</v>
      </c>
      <c r="B4">
        <v>255</v>
      </c>
    </row>
    <row r="5" spans="1:2" x14ac:dyDescent="0.35">
      <c r="A5" t="s">
        <v>22</v>
      </c>
      <c r="B5">
        <v>40000</v>
      </c>
    </row>
    <row r="7" spans="1:2" x14ac:dyDescent="0.35">
      <c r="A7" t="s">
        <v>14</v>
      </c>
      <c r="B7">
        <f>B2/B3</f>
        <v>2000000</v>
      </c>
    </row>
    <row r="8" spans="1:2" x14ac:dyDescent="0.35">
      <c r="A8" t="s">
        <v>15</v>
      </c>
      <c r="B8">
        <f>1000000/B7</f>
        <v>0.5</v>
      </c>
    </row>
    <row r="9" spans="1:2" x14ac:dyDescent="0.35">
      <c r="A9" t="s">
        <v>23</v>
      </c>
      <c r="B9">
        <f>(B4+1)*B8</f>
        <v>128</v>
      </c>
    </row>
    <row r="10" spans="1:2" x14ac:dyDescent="0.35">
      <c r="A10" t="s">
        <v>24</v>
      </c>
      <c r="B10">
        <f>1000000/B9</f>
        <v>7812.5</v>
      </c>
    </row>
    <row r="11" spans="1:2" x14ac:dyDescent="0.35">
      <c r="A11" t="s">
        <v>25</v>
      </c>
      <c r="B11">
        <f>(B5*B8)/1000</f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baseColWidth="10" defaultColWidth="8.7265625" defaultRowHeight="14.5" x14ac:dyDescent="0.35"/>
  <cols>
    <col min="1" max="1" width="24" customWidth="1"/>
    <col min="2" max="2" width="2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16000000</v>
      </c>
    </row>
    <row r="3" spans="1:2" x14ac:dyDescent="0.35">
      <c r="A3" t="s">
        <v>26</v>
      </c>
      <c r="B3">
        <v>128</v>
      </c>
    </row>
    <row r="4" spans="1:2" x14ac:dyDescent="0.35">
      <c r="A4" t="s">
        <v>27</v>
      </c>
      <c r="B4">
        <v>13</v>
      </c>
    </row>
    <row r="5" spans="1:2" x14ac:dyDescent="0.35">
      <c r="A5" t="s">
        <v>28</v>
      </c>
      <c r="B5">
        <v>4</v>
      </c>
    </row>
    <row r="7" spans="1:2" x14ac:dyDescent="0.35">
      <c r="A7" t="s">
        <v>29</v>
      </c>
      <c r="B7">
        <f>B2/B3</f>
        <v>125000</v>
      </c>
    </row>
    <row r="8" spans="1:2" x14ac:dyDescent="0.35">
      <c r="A8" t="s">
        <v>30</v>
      </c>
      <c r="B8">
        <f>(B4/B7)*1000000</f>
        <v>104</v>
      </c>
    </row>
    <row r="9" spans="1:2" x14ac:dyDescent="0.35">
      <c r="A9" t="s">
        <v>31</v>
      </c>
      <c r="B9">
        <f>B8*B5</f>
        <v>416</v>
      </c>
    </row>
    <row r="11" spans="1:2" x14ac:dyDescent="0.35">
      <c r="A11" t="s">
        <v>32</v>
      </c>
      <c r="B11">
        <v>512</v>
      </c>
    </row>
    <row r="12" spans="1:2" x14ac:dyDescent="0.35">
      <c r="A12" t="s">
        <v>33</v>
      </c>
      <c r="B12">
        <f>1000+((B11*1000)/1023)</f>
        <v>1500.4887585532747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7265625" defaultRowHeight="14.5" x14ac:dyDescent="0.35"/>
  <cols>
    <col min="1" max="1" width="14" customWidth="1"/>
    <col min="2" max="2" width="2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16000000</v>
      </c>
    </row>
    <row r="3" spans="1:2" x14ac:dyDescent="0.35">
      <c r="A3" t="s">
        <v>34</v>
      </c>
      <c r="B3">
        <v>9600</v>
      </c>
    </row>
    <row r="5" spans="1:2" x14ac:dyDescent="0.35">
      <c r="A5" t="s">
        <v>35</v>
      </c>
      <c r="B5">
        <f>(B2/(16*B3))-1</f>
        <v>103.16666666666667</v>
      </c>
    </row>
    <row r="6" spans="1:2" x14ac:dyDescent="0.35">
      <c r="A6" t="s">
        <v>36</v>
      </c>
      <c r="B6">
        <f>B2/(16*(B5+1))</f>
        <v>9600</v>
      </c>
    </row>
    <row r="7" spans="1:2" x14ac:dyDescent="0.35">
      <c r="A7" t="s">
        <v>37</v>
      </c>
      <c r="B7">
        <f>((B6-B3)/B3)*100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Timer0_1ms</vt:lpstr>
      <vt:lpstr>Timer1_PWM</vt:lpstr>
      <vt:lpstr>Timer2_SoftPWM</vt:lpstr>
      <vt:lpstr>ADC</vt:lpstr>
      <vt:lpstr>UART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ESTRADA VASQUEZ, SAMUEL ESTUARDO</cp:lastModifiedBy>
  <dcterms:created xsi:type="dcterms:W3CDTF">2026-05-20T18:22:05Z</dcterms:created>
  <dcterms:modified xsi:type="dcterms:W3CDTF">2026-05-20T18:25:50Z</dcterms:modified>
</cp:coreProperties>
</file>